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Raw DNA"/>
    <sheet r:id="rId2" sheetId="2" name="BMC ready"/>
  </sheets>
  <calcPr fullCalcOnLoad="1"/>
</workbook>
</file>

<file path=xl/sharedStrings.xml><?xml version="1.0" encoding="utf-8"?>
<sst xmlns="http://schemas.openxmlformats.org/spreadsheetml/2006/main" count="181" uniqueCount="88">
  <si>
    <t>pico</t>
  </si>
  <si>
    <t>BMC Sample ID</t>
  </si>
  <si>
    <t>Sample name</t>
  </si>
  <si>
    <t>rep</t>
  </si>
  <si>
    <t>total vol (ul)</t>
  </si>
  <si>
    <t>total ng/ul</t>
  </si>
  <si>
    <t>total ug</t>
  </si>
  <si>
    <t xml:space="preserve">MED4ax </t>
  </si>
  <si>
    <t>A</t>
  </si>
  <si>
    <t>B</t>
  </si>
  <si>
    <t>C</t>
  </si>
  <si>
    <t>MED4ax + A1A</t>
  </si>
  <si>
    <t>MED4ax + 1907</t>
  </si>
  <si>
    <t>MED4ax + 1940</t>
  </si>
  <si>
    <t>MED4ax + 1943</t>
  </si>
  <si>
    <t>MED4Xe</t>
  </si>
  <si>
    <t>NATL2Aax</t>
  </si>
  <si>
    <t xml:space="preserve"> </t>
  </si>
  <si>
    <t>NATL2Aax + A1A</t>
  </si>
  <si>
    <t>Sample ID</t>
  </si>
  <si>
    <t>Date extracted</t>
  </si>
  <si>
    <t>Extractor</t>
  </si>
  <si>
    <t>Volume (uL)</t>
  </si>
  <si>
    <t>Nanodrop Concen (ng/uL)</t>
  </si>
  <si>
    <t>Nano 260/280</t>
  </si>
  <si>
    <t>Nano 260/230</t>
  </si>
  <si>
    <t>Picogreen Concen (ng/uL)</t>
  </si>
  <si>
    <t>Total DNA (ug)</t>
  </si>
  <si>
    <t>M4 + 1907 A1 nano 5.11</t>
  </si>
  <si>
    <t>DA</t>
  </si>
  <si>
    <t>M4 + 1907 A2 nano 5.11</t>
  </si>
  <si>
    <t>KJ</t>
  </si>
  <si>
    <t>no bio rep information</t>
  </si>
  <si>
    <t>M4 + 1907 B1 nano 5.11</t>
  </si>
  <si>
    <t>Need to nanodrop</t>
  </si>
  <si>
    <t>M4 + 1907 B2 nano 5.11</t>
  </si>
  <si>
    <t>need or need to redo picogreen values</t>
  </si>
  <si>
    <t>M4 + 1907 C1 nano 5.11</t>
  </si>
  <si>
    <t>M4 + 1907 C2 nano 5.11</t>
  </si>
  <si>
    <t>M4 + 1940 A1 nano 5.11</t>
  </si>
  <si>
    <t>M4 + 1940 A2 nano 5.11</t>
  </si>
  <si>
    <t>M4 + 1940 B2 nano 5.11</t>
  </si>
  <si>
    <t>M4 + 1940 C1 nano 5.11</t>
  </si>
  <si>
    <t>M4 + 1940 C2 nano 5.11</t>
  </si>
  <si>
    <t>M4 + 1940 nano 5.11</t>
  </si>
  <si>
    <t>M4 + 1943 A2 nano 5.11</t>
  </si>
  <si>
    <t>M4 + 1943 B1 nano 5.11</t>
  </si>
  <si>
    <t>M4 + 1943 B2 nano 5.11</t>
  </si>
  <si>
    <t>M4 + 1943 C1 nano 5.11</t>
  </si>
  <si>
    <t>M4 + 1943 C2 nano 5.11</t>
  </si>
  <si>
    <t>M4 + 1943 nano 5.11</t>
  </si>
  <si>
    <t xml:space="preserve">M4 + A1A A1 nano 5.10 </t>
  </si>
  <si>
    <t>M4 + A1A A2 nano 5.10</t>
  </si>
  <si>
    <t xml:space="preserve">M4 + A1A A3 nano </t>
  </si>
  <si>
    <t xml:space="preserve">M4 + A1A B1 nano 5.10 </t>
  </si>
  <si>
    <t>M4 + A1A B2 nano 5.10</t>
  </si>
  <si>
    <t xml:space="preserve">M4 + A1A C nano 5.10 </t>
  </si>
  <si>
    <t>M4 + A1A C1 nano 5.10</t>
  </si>
  <si>
    <t>M4 + A1A C2 nano 5.10</t>
  </si>
  <si>
    <t>M4ax A1 nano 5.10</t>
  </si>
  <si>
    <t>M4ax A2 nano 5.10</t>
  </si>
  <si>
    <t>M4ax A3 nano 5.10</t>
  </si>
  <si>
    <t>M4ax B1 nano 5.10</t>
  </si>
  <si>
    <t>M4ax B2 nano 5.10</t>
  </si>
  <si>
    <t>M4ax B3 nano 5.10</t>
  </si>
  <si>
    <t>M4ax B4 nano 5.10</t>
  </si>
  <si>
    <t>M4ax C nano 5.10</t>
  </si>
  <si>
    <t>M4ax C1 nano 5.10</t>
  </si>
  <si>
    <t>M4ax C2 nano 5.10</t>
  </si>
  <si>
    <t>M4ax C3 nano 5.10</t>
  </si>
  <si>
    <t xml:space="preserve">M4xe A1 nano 5.10 </t>
  </si>
  <si>
    <t xml:space="preserve">M4xe B1 nano 5.10 </t>
  </si>
  <si>
    <t>M4xe B2 nano 5.10</t>
  </si>
  <si>
    <t>KC</t>
  </si>
  <si>
    <t xml:space="preserve">M4xe C nano 5.10 </t>
  </si>
  <si>
    <t>AR</t>
  </si>
  <si>
    <t>M4xe nano 5.10</t>
  </si>
  <si>
    <t>N2 + A1A A1 nano 5.10</t>
  </si>
  <si>
    <t>N2 + A1A A2 nano 5.10</t>
  </si>
  <si>
    <t>N2 + A1A B1 nano</t>
  </si>
  <si>
    <t>N2 + A1A B3 nano 5.10</t>
  </si>
  <si>
    <t>N2 + A1A C1 nano 5.10</t>
  </si>
  <si>
    <t>N2 + A1A C2 nano 5.10</t>
  </si>
  <si>
    <t>N2ax A nano 5.10</t>
  </si>
  <si>
    <t>N2ax B nano 5.10</t>
  </si>
  <si>
    <t>N2ax B2 nano 5.10</t>
  </si>
  <si>
    <t>N2ax C1 nano 5.10</t>
  </si>
  <si>
    <t>N2ax C2 nano 5.10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</si>
</sst>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rgb="FF000000"/>
      <name val="Aptos Narrow"/>
      <family val="2"/>
    </font>
    <font>
      <sz val="14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d1d1d1"/>
      </patternFill>
    </fill>
    <fill>
      <patternFill patternType="solid">
        <fgColor rgb="FFff0000"/>
      </patternFill>
    </fill>
    <fill>
      <patternFill patternType="solid">
        <fgColor rgb="FFf6c6ad"/>
      </patternFill>
    </fill>
    <fill>
      <patternFill patternType="solid">
        <fgColor rgb="FFf2cfee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4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2" applyBorder="1" fontId="2" applyFont="1" fillId="2" applyFill="1" applyAlignment="1">
      <alignment horizontal="center"/>
    </xf>
    <xf xfId="0" numFmtId="14" applyNumberFormat="1" borderId="2" applyBorder="1" fontId="2" applyFont="1" fillId="2" applyFill="1" applyAlignment="1">
      <alignment horizontal="center"/>
    </xf>
    <xf xfId="0" numFmtId="3" applyNumberFormat="1" borderId="2" applyBorder="1" fontId="2" applyFont="1" fillId="2" applyFill="1" applyAlignment="1">
      <alignment horizontal="center"/>
    </xf>
    <xf xfId="0" numFmtId="4" applyNumberFormat="1" borderId="2" applyBorder="1" fontId="2" applyFont="1" fillId="2" applyFill="1" applyAlignment="1">
      <alignment horizontal="center"/>
    </xf>
    <xf xfId="0" numFmtId="164" applyNumberFormat="1" borderId="2" applyBorder="1" fontId="2" applyFont="1" fillId="2" applyFill="1" applyAlignment="1">
      <alignment horizontal="center"/>
    </xf>
    <xf xfId="0" numFmtId="0" borderId="1" applyBorder="1" fontId="2" applyFont="1" fillId="0" applyAlignment="1">
      <alignment horizontal="left"/>
    </xf>
    <xf xfId="0" numFmtId="14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2" applyBorder="1" fontId="2" applyFont="1" fillId="3" applyFill="1" applyAlignment="1">
      <alignment horizontal="left"/>
    </xf>
    <xf xfId="0" numFmtId="0" borderId="2" applyBorder="1" fontId="2" applyFont="1" fillId="4" applyFill="1" applyAlignment="1">
      <alignment horizontal="left"/>
    </xf>
    <xf xfId="0" numFmtId="0" borderId="2" applyBorder="1" fontId="2" applyFont="1" fillId="5" applyFill="1" applyAlignment="1">
      <alignment horizontal="left"/>
    </xf>
    <xf xfId="0" numFmtId="0" borderId="1" applyBorder="1" fontId="3" applyFont="1" fillId="0" applyAlignment="1">
      <alignment horizontal="left"/>
    </xf>
    <xf xfId="0" numFmtId="14" applyNumberFormat="1" borderId="1" applyBorder="1" fontId="3" applyFont="1" fillId="0" applyAlignment="1">
      <alignment horizontal="left"/>
    </xf>
    <xf xfId="0" numFmtId="0" borderId="1" applyBorder="1" fontId="3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164" applyNumberFormat="1" borderId="1" applyBorder="1" fontId="3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14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14" applyNumberFormat="1" borderId="0" fontId="0" fillId="0" applyAlignment="1">
      <alignment horizontal="general"/>
    </xf>
    <xf xfId="0" numFmtId="0" borderId="0" fontId="0" fillId="0" applyAlignment="1">
      <alignment horizontal="righ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57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24.005" customWidth="1" bestFit="1"/>
    <col min="2" max="2" style="31" width="19.005" customWidth="1" bestFit="1"/>
    <col min="3" max="3" style="32" width="13.147857142857141" customWidth="1" bestFit="1"/>
    <col min="4" max="4" style="6" width="14.147857142857141" customWidth="1" bestFit="1"/>
    <col min="5" max="5" style="8" width="28.719285714285714" customWidth="1" bestFit="1"/>
    <col min="6" max="6" style="8" width="16.719285714285714" customWidth="1" bestFit="1"/>
    <col min="7" max="7" style="8" width="15.719285714285713" customWidth="1" bestFit="1"/>
    <col min="8" max="8" style="33" width="27.290714285714284" customWidth="1" bestFit="1"/>
    <col min="9" max="9" style="8" width="17.719285714285714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7" width="13.576428571428572" customWidth="1" bestFit="1"/>
  </cols>
  <sheetData>
    <row x14ac:dyDescent="0.25" r="1" customHeight="1" ht="18.75">
      <c r="A1" s="9" t="s">
        <v>19</v>
      </c>
      <c r="B1" s="10" t="s">
        <v>20</v>
      </c>
      <c r="C1" s="9" t="s">
        <v>21</v>
      </c>
      <c r="D1" s="11" t="s">
        <v>22</v>
      </c>
      <c r="E1" s="12" t="s">
        <v>23</v>
      </c>
      <c r="F1" s="12" t="s">
        <v>24</v>
      </c>
      <c r="G1" s="12" t="s">
        <v>25</v>
      </c>
      <c r="H1" s="13" t="s">
        <v>26</v>
      </c>
      <c r="I1" s="12" t="s">
        <v>27</v>
      </c>
      <c r="J1" s="2"/>
      <c r="K1" s="2"/>
      <c r="L1" s="2"/>
      <c r="M1" s="2"/>
      <c r="N1" s="2"/>
      <c r="O1" s="2"/>
    </row>
    <row x14ac:dyDescent="0.25" r="2" customHeight="1" ht="18.75">
      <c r="A2" s="14" t="s">
        <v>28</v>
      </c>
      <c r="B2" s="15">
        <v>45485</v>
      </c>
      <c r="C2" s="16" t="s">
        <v>29</v>
      </c>
      <c r="D2" s="17">
        <v>14</v>
      </c>
      <c r="E2" s="18">
        <v>1350.3</v>
      </c>
      <c r="F2" s="18">
        <v>1.95</v>
      </c>
      <c r="G2" s="18">
        <v>2.2</v>
      </c>
      <c r="H2" s="18">
        <v>173.69</v>
      </c>
      <c r="I2" s="18">
        <f>(D2*H2)/1000</f>
      </c>
      <c r="J2" s="14"/>
      <c r="K2" s="2"/>
      <c r="L2" s="2"/>
      <c r="M2" s="2"/>
      <c r="N2" s="2"/>
      <c r="O2" s="2"/>
    </row>
    <row x14ac:dyDescent="0.25" r="3" customHeight="1" ht="18.75">
      <c r="A3" s="14" t="s">
        <v>30</v>
      </c>
      <c r="B3" s="15">
        <v>45467</v>
      </c>
      <c r="C3" s="16" t="s">
        <v>31</v>
      </c>
      <c r="D3" s="17">
        <v>16</v>
      </c>
      <c r="E3" s="19">
        <v>1902.1</v>
      </c>
      <c r="F3" s="18">
        <v>1.83</v>
      </c>
      <c r="G3" s="18">
        <v>1.76</v>
      </c>
      <c r="H3" s="18">
        <v>117.3</v>
      </c>
      <c r="I3" s="18">
        <f>(D3*H3)/1000</f>
      </c>
      <c r="J3" s="2"/>
      <c r="K3" s="2"/>
      <c r="L3" s="2"/>
      <c r="M3" s="20"/>
      <c r="N3" s="14" t="s">
        <v>32</v>
      </c>
      <c r="O3" s="2"/>
    </row>
    <row x14ac:dyDescent="0.25" r="4" customHeight="1" ht="18.75">
      <c r="A4" s="14" t="s">
        <v>33</v>
      </c>
      <c r="B4" s="15">
        <v>45485</v>
      </c>
      <c r="C4" s="16" t="s">
        <v>29</v>
      </c>
      <c r="D4" s="17">
        <v>14</v>
      </c>
      <c r="E4" s="17">
        <v>1067</v>
      </c>
      <c r="F4" s="18">
        <v>1.98</v>
      </c>
      <c r="G4" s="18">
        <v>2.29</v>
      </c>
      <c r="H4" s="18">
        <v>211.72</v>
      </c>
      <c r="I4" s="18">
        <f>(D4*H4)/1000</f>
      </c>
      <c r="J4" s="2"/>
      <c r="K4" s="2"/>
      <c r="L4" s="2"/>
      <c r="M4" s="21"/>
      <c r="N4" s="14" t="s">
        <v>34</v>
      </c>
      <c r="O4" s="14"/>
    </row>
    <row x14ac:dyDescent="0.25" r="5" customHeight="1" ht="18.75">
      <c r="A5" s="14" t="s">
        <v>35</v>
      </c>
      <c r="B5" s="15">
        <v>45467</v>
      </c>
      <c r="C5" s="16" t="s">
        <v>31</v>
      </c>
      <c r="D5" s="17">
        <v>16</v>
      </c>
      <c r="E5" s="19">
        <v>1707.2</v>
      </c>
      <c r="F5" s="18">
        <v>1.95</v>
      </c>
      <c r="G5" s="18">
        <v>2.11</v>
      </c>
      <c r="H5" s="17">
        <v>99</v>
      </c>
      <c r="I5" s="18">
        <f>(D5*H5)/1000</f>
      </c>
      <c r="J5" s="2"/>
      <c r="K5" s="2"/>
      <c r="L5" s="2"/>
      <c r="M5" s="22"/>
      <c r="N5" s="14" t="s">
        <v>36</v>
      </c>
      <c r="O5" s="2"/>
    </row>
    <row x14ac:dyDescent="0.25" r="6" customHeight="1" ht="18.75">
      <c r="A6" s="14" t="s">
        <v>37</v>
      </c>
      <c r="B6" s="15">
        <v>45485</v>
      </c>
      <c r="C6" s="16" t="s">
        <v>29</v>
      </c>
      <c r="D6" s="17">
        <v>14</v>
      </c>
      <c r="E6" s="18">
        <v>1335.4</v>
      </c>
      <c r="F6" s="18">
        <v>1.96</v>
      </c>
      <c r="G6" s="18">
        <v>2.24</v>
      </c>
      <c r="H6" s="18">
        <v>212.67</v>
      </c>
      <c r="I6" s="18">
        <f>(D6*H6)/1000</f>
      </c>
      <c r="J6" s="2"/>
      <c r="K6" s="2"/>
      <c r="L6" s="2"/>
      <c r="M6" s="2"/>
      <c r="N6" s="2"/>
      <c r="O6" s="2"/>
    </row>
    <row x14ac:dyDescent="0.25" r="7" customHeight="1" ht="18.75">
      <c r="A7" s="14" t="s">
        <v>38</v>
      </c>
      <c r="B7" s="15">
        <v>45468</v>
      </c>
      <c r="C7" s="16" t="s">
        <v>31</v>
      </c>
      <c r="D7" s="17">
        <v>16</v>
      </c>
      <c r="E7" s="19">
        <v>1635.4</v>
      </c>
      <c r="F7" s="18">
        <v>1.88</v>
      </c>
      <c r="G7" s="18">
        <v>1.9</v>
      </c>
      <c r="H7" s="18">
        <v>70.9</v>
      </c>
      <c r="I7" s="18">
        <f>(D7*H7)/1000</f>
      </c>
      <c r="J7" s="2"/>
      <c r="K7" s="2"/>
      <c r="L7" s="2"/>
      <c r="M7" s="2"/>
      <c r="N7" s="2"/>
      <c r="O7" s="2"/>
    </row>
    <row x14ac:dyDescent="0.25" r="8" customHeight="1" ht="18.75">
      <c r="A8" s="14" t="s">
        <v>39</v>
      </c>
      <c r="B8" s="15">
        <v>45485</v>
      </c>
      <c r="C8" s="16" t="s">
        <v>29</v>
      </c>
      <c r="D8" s="17">
        <v>14</v>
      </c>
      <c r="E8" s="18">
        <v>840.2</v>
      </c>
      <c r="F8" s="18">
        <v>1.97</v>
      </c>
      <c r="G8" s="18">
        <v>2.29</v>
      </c>
      <c r="H8" s="18">
        <v>197.03</v>
      </c>
      <c r="I8" s="18">
        <f>(D8*H8)/1000</f>
      </c>
      <c r="J8" s="2"/>
      <c r="K8" s="2"/>
      <c r="L8" s="2"/>
      <c r="M8" s="2"/>
      <c r="N8" s="2"/>
      <c r="O8" s="2"/>
    </row>
    <row x14ac:dyDescent="0.25" r="9" customHeight="1" ht="18.75">
      <c r="A9" s="14" t="s">
        <v>40</v>
      </c>
      <c r="B9" s="15">
        <v>45468</v>
      </c>
      <c r="C9" s="16" t="s">
        <v>31</v>
      </c>
      <c r="D9" s="17">
        <v>13</v>
      </c>
      <c r="E9" s="19">
        <v>1359.3</v>
      </c>
      <c r="F9" s="18">
        <v>1.85</v>
      </c>
      <c r="G9" s="18">
        <v>1.78</v>
      </c>
      <c r="H9" s="19">
        <v>108.99957953749124</v>
      </c>
      <c r="I9" s="18">
        <f>(D9*H9)/1000</f>
      </c>
      <c r="J9" s="2"/>
      <c r="K9" s="19"/>
      <c r="L9" s="2"/>
      <c r="M9" s="2"/>
      <c r="N9" s="2"/>
      <c r="O9" s="2"/>
    </row>
    <row x14ac:dyDescent="0.25" r="10" customHeight="1" ht="18.75">
      <c r="A10" s="23" t="s">
        <v>41</v>
      </c>
      <c r="B10" s="24">
        <v>45467</v>
      </c>
      <c r="C10" s="25" t="s">
        <v>31</v>
      </c>
      <c r="D10" s="26">
        <v>14</v>
      </c>
      <c r="E10" s="27">
        <v>1611.6</v>
      </c>
      <c r="F10" s="28">
        <v>1.86</v>
      </c>
      <c r="G10" s="28">
        <v>1.81</v>
      </c>
      <c r="H10" s="27">
        <v>58.89446391030133</v>
      </c>
      <c r="I10" s="28">
        <f>(D10*H10)/1000</f>
      </c>
      <c r="J10" s="2"/>
      <c r="K10" s="2"/>
      <c r="L10" s="2"/>
      <c r="M10" s="2"/>
      <c r="N10" s="2"/>
      <c r="O10" s="2"/>
    </row>
    <row x14ac:dyDescent="0.25" r="11" customHeight="1" ht="18.75">
      <c r="A11" s="23" t="s">
        <v>42</v>
      </c>
      <c r="B11" s="24">
        <v>45468</v>
      </c>
      <c r="C11" s="25" t="s">
        <v>31</v>
      </c>
      <c r="D11" s="26">
        <v>14</v>
      </c>
      <c r="E11" s="27">
        <v>1354.5</v>
      </c>
      <c r="F11" s="28">
        <v>1.84</v>
      </c>
      <c r="G11" s="28">
        <v>1.8</v>
      </c>
      <c r="H11" s="27">
        <v>105.81807988787666</v>
      </c>
      <c r="I11" s="28">
        <f>(D11*H11)/1000</f>
      </c>
      <c r="J11" s="2"/>
      <c r="K11" s="2"/>
      <c r="L11" s="2"/>
      <c r="M11" s="2"/>
      <c r="N11" s="2"/>
      <c r="O11" s="2"/>
    </row>
    <row x14ac:dyDescent="0.25" r="12" customHeight="1" ht="18.75">
      <c r="A12" s="23" t="s">
        <v>43</v>
      </c>
      <c r="B12" s="24">
        <v>45468</v>
      </c>
      <c r="C12" s="25" t="s">
        <v>31</v>
      </c>
      <c r="D12" s="26">
        <v>14</v>
      </c>
      <c r="E12" s="27">
        <v>1311.4</v>
      </c>
      <c r="F12" s="28">
        <v>1.89</v>
      </c>
      <c r="G12" s="28">
        <v>1.95</v>
      </c>
      <c r="H12" s="27">
        <v>85.05003503854239</v>
      </c>
      <c r="I12" s="28">
        <f>(D12*H12)/1000</f>
      </c>
      <c r="J12" s="2"/>
      <c r="K12" s="19"/>
      <c r="L12" s="2"/>
      <c r="M12" s="2"/>
      <c r="N12" s="2"/>
      <c r="O12" s="2"/>
    </row>
    <row x14ac:dyDescent="0.25" r="13" customHeight="1" ht="18.75">
      <c r="A13" s="20" t="s">
        <v>44</v>
      </c>
      <c r="B13" s="15">
        <v>45468</v>
      </c>
      <c r="C13" s="16" t="s">
        <v>31</v>
      </c>
      <c r="D13" s="17">
        <v>16</v>
      </c>
      <c r="E13" s="19">
        <v>1444.5</v>
      </c>
      <c r="F13" s="18">
        <v>1.9</v>
      </c>
      <c r="G13" s="18">
        <v>1.91</v>
      </c>
      <c r="H13" s="18">
        <v>53.1</v>
      </c>
      <c r="I13" s="18">
        <f>(D13*H13)/1000</f>
      </c>
      <c r="J13" s="2"/>
      <c r="K13" s="2"/>
      <c r="L13" s="2"/>
      <c r="M13" s="2"/>
      <c r="N13" s="2"/>
      <c r="O13" s="2"/>
    </row>
    <row x14ac:dyDescent="0.25" r="14" customHeight="1" ht="18.75">
      <c r="A14" s="23" t="s">
        <v>45</v>
      </c>
      <c r="B14" s="15">
        <v>45468</v>
      </c>
      <c r="C14" s="16" t="s">
        <v>31</v>
      </c>
      <c r="D14" s="17">
        <v>16</v>
      </c>
      <c r="E14" s="19">
        <v>1486.9</v>
      </c>
      <c r="F14" s="18">
        <v>1.86</v>
      </c>
      <c r="G14" s="18">
        <v>1.78</v>
      </c>
      <c r="H14" s="18">
        <v>73.6</v>
      </c>
      <c r="I14" s="18">
        <f>(D14*H14)/1000</f>
      </c>
      <c r="J14" s="2"/>
      <c r="K14" s="2"/>
      <c r="L14" s="2"/>
      <c r="M14" s="2"/>
      <c r="N14" s="2"/>
      <c r="O14" s="2"/>
    </row>
    <row x14ac:dyDescent="0.25" r="15" customHeight="1" ht="18.75">
      <c r="A15" s="14" t="s">
        <v>46</v>
      </c>
      <c r="B15" s="15">
        <v>45485</v>
      </c>
      <c r="C15" s="16" t="s">
        <v>29</v>
      </c>
      <c r="D15" s="17">
        <v>12</v>
      </c>
      <c r="E15" s="19">
        <v>1694.7</v>
      </c>
      <c r="F15" s="18">
        <v>1.96</v>
      </c>
      <c r="G15" s="18">
        <v>2.21</v>
      </c>
      <c r="H15" s="18">
        <v>136.01</v>
      </c>
      <c r="I15" s="18">
        <f>(D15*H15)/1000</f>
      </c>
      <c r="J15" s="2"/>
      <c r="K15" s="2"/>
      <c r="L15" s="2"/>
      <c r="M15" s="2"/>
      <c r="N15" s="2"/>
      <c r="O15" s="2"/>
    </row>
    <row x14ac:dyDescent="0.25" r="16" customHeight="1" ht="18.75">
      <c r="A16" s="14" t="s">
        <v>47</v>
      </c>
      <c r="B16" s="15">
        <v>45464</v>
      </c>
      <c r="C16" s="16" t="s">
        <v>29</v>
      </c>
      <c r="D16" s="17">
        <v>16</v>
      </c>
      <c r="E16" s="19">
        <v>1236</v>
      </c>
      <c r="F16" s="18">
        <v>1.92</v>
      </c>
      <c r="G16" s="18">
        <v>2.1</v>
      </c>
      <c r="H16" s="18">
        <v>61.6</v>
      </c>
      <c r="I16" s="18">
        <f>(D16*H16)/1000</f>
      </c>
      <c r="J16" s="2"/>
      <c r="K16" s="2"/>
      <c r="L16" s="2"/>
      <c r="M16" s="2"/>
      <c r="N16" s="2"/>
      <c r="O16" s="2"/>
    </row>
    <row x14ac:dyDescent="0.25" r="17" customHeight="1" ht="18.75">
      <c r="A17" s="14" t="s">
        <v>48</v>
      </c>
      <c r="B17" s="15">
        <v>45464</v>
      </c>
      <c r="C17" s="16" t="s">
        <v>29</v>
      </c>
      <c r="D17" s="17">
        <v>16</v>
      </c>
      <c r="E17" s="19">
        <v>850</v>
      </c>
      <c r="F17" s="18">
        <v>1.8</v>
      </c>
      <c r="G17" s="18">
        <v>1.77</v>
      </c>
      <c r="H17" s="18">
        <v>68.5</v>
      </c>
      <c r="I17" s="18">
        <f>(D17*H17)/1000</f>
      </c>
      <c r="J17" s="2"/>
      <c r="K17" s="2"/>
      <c r="L17" s="2"/>
      <c r="M17" s="2"/>
      <c r="N17" s="2"/>
      <c r="O17" s="2"/>
    </row>
    <row x14ac:dyDescent="0.25" r="18" customHeight="1" ht="18.75">
      <c r="A18" s="14" t="s">
        <v>49</v>
      </c>
      <c r="B18" s="15">
        <v>45485</v>
      </c>
      <c r="C18" s="16" t="s">
        <v>29</v>
      </c>
      <c r="D18" s="17">
        <v>12</v>
      </c>
      <c r="E18" s="19">
        <v>845</v>
      </c>
      <c r="F18" s="18">
        <v>1.99</v>
      </c>
      <c r="G18" s="18">
        <v>2.2</v>
      </c>
      <c r="H18" s="18">
        <v>124.64</v>
      </c>
      <c r="I18" s="18">
        <f>(D18*H18)/1000</f>
      </c>
      <c r="J18" s="2"/>
      <c r="K18" s="2"/>
      <c r="L18" s="2"/>
      <c r="M18" s="2"/>
      <c r="N18" s="2"/>
      <c r="O18" s="2"/>
    </row>
    <row x14ac:dyDescent="0.25" r="19" customHeight="1" ht="18.75">
      <c r="A19" s="20" t="s">
        <v>50</v>
      </c>
      <c r="B19" s="15">
        <v>45464</v>
      </c>
      <c r="C19" s="16" t="s">
        <v>29</v>
      </c>
      <c r="D19" s="17">
        <v>16</v>
      </c>
      <c r="E19" s="19">
        <v>1955.1</v>
      </c>
      <c r="F19" s="18">
        <v>1.93</v>
      </c>
      <c r="G19" s="18">
        <v>2.08</v>
      </c>
      <c r="H19" s="18">
        <v>65.7</v>
      </c>
      <c r="I19" s="18">
        <f>(D19*H19)/1000</f>
      </c>
      <c r="J19" s="2"/>
      <c r="K19" s="2"/>
      <c r="L19" s="2"/>
      <c r="M19" s="2"/>
      <c r="N19" s="2"/>
      <c r="O19" s="2"/>
    </row>
    <row x14ac:dyDescent="0.25" r="20" customHeight="1" ht="18.75">
      <c r="A20" s="14" t="s">
        <v>51</v>
      </c>
      <c r="B20" s="15">
        <v>45485</v>
      </c>
      <c r="C20" s="16" t="s">
        <v>29</v>
      </c>
      <c r="D20" s="17">
        <v>12</v>
      </c>
      <c r="E20" s="19">
        <v>466.6</v>
      </c>
      <c r="F20" s="18">
        <v>1.92</v>
      </c>
      <c r="G20" s="18">
        <v>1.95</v>
      </c>
      <c r="H20" s="18">
        <v>116.53</v>
      </c>
      <c r="I20" s="18">
        <f>(D20*H20)/1000</f>
      </c>
      <c r="J20" s="2"/>
      <c r="K20" s="2"/>
      <c r="L20" s="2"/>
      <c r="M20" s="2"/>
      <c r="N20" s="2"/>
      <c r="O20" s="2"/>
    </row>
    <row x14ac:dyDescent="0.25" r="21" customHeight="1" ht="18.75">
      <c r="A21" s="14" t="s">
        <v>52</v>
      </c>
      <c r="B21" s="15">
        <v>45485</v>
      </c>
      <c r="C21" s="16" t="s">
        <v>29</v>
      </c>
      <c r="D21" s="17">
        <v>12</v>
      </c>
      <c r="E21" s="18">
        <v>741.9</v>
      </c>
      <c r="F21" s="18">
        <v>1.98</v>
      </c>
      <c r="G21" s="18">
        <v>2.22</v>
      </c>
      <c r="H21" s="18">
        <v>123.7</v>
      </c>
      <c r="I21" s="18">
        <f>(D21*H21)/1000</f>
      </c>
      <c r="J21" s="2"/>
      <c r="K21" s="2"/>
      <c r="L21" s="2"/>
      <c r="M21" s="2"/>
      <c r="N21" s="2"/>
      <c r="O21" s="2"/>
    </row>
    <row x14ac:dyDescent="0.25" r="22" customHeight="1" ht="18.75">
      <c r="A22" s="14" t="s">
        <v>53</v>
      </c>
      <c r="B22" s="15">
        <v>45485</v>
      </c>
      <c r="C22" s="16" t="s">
        <v>29</v>
      </c>
      <c r="D22" s="17">
        <v>12</v>
      </c>
      <c r="E22" s="19">
        <v>1158.1</v>
      </c>
      <c r="F22" s="18">
        <v>1.99</v>
      </c>
      <c r="G22" s="18">
        <v>2.29</v>
      </c>
      <c r="H22" s="18">
        <v>129.7</v>
      </c>
      <c r="I22" s="18">
        <f>(D22*H22)/1000</f>
      </c>
      <c r="J22" s="2"/>
      <c r="K22" s="2"/>
      <c r="L22" s="2"/>
      <c r="M22" s="2"/>
      <c r="N22" s="2"/>
      <c r="O22" s="2"/>
    </row>
    <row x14ac:dyDescent="0.25" r="23" customHeight="1" ht="18.75">
      <c r="A23" s="14" t="s">
        <v>54</v>
      </c>
      <c r="B23" s="15">
        <v>45464</v>
      </c>
      <c r="C23" s="16" t="s">
        <v>29</v>
      </c>
      <c r="D23" s="17">
        <v>16</v>
      </c>
      <c r="E23" s="19">
        <v>1174.7</v>
      </c>
      <c r="F23" s="18">
        <v>1.8</v>
      </c>
      <c r="G23" s="18">
        <v>1.79</v>
      </c>
      <c r="H23" s="18">
        <v>74.6</v>
      </c>
      <c r="I23" s="18">
        <f>(D23*H23)/1000</f>
      </c>
      <c r="J23" s="2"/>
      <c r="K23" s="2"/>
      <c r="L23" s="2"/>
      <c r="M23" s="2"/>
      <c r="N23" s="2"/>
      <c r="O23" s="2"/>
    </row>
    <row x14ac:dyDescent="0.25" r="24" customHeight="1" ht="18.75">
      <c r="A24" s="14" t="s">
        <v>55</v>
      </c>
      <c r="B24" s="29">
        <v>45468</v>
      </c>
      <c r="C24" s="16" t="s">
        <v>31</v>
      </c>
      <c r="D24" s="17">
        <v>16</v>
      </c>
      <c r="E24" s="18">
        <v>2177.3</v>
      </c>
      <c r="F24" s="18">
        <v>1.76</v>
      </c>
      <c r="G24" s="18">
        <v>1.63</v>
      </c>
      <c r="H24" s="18">
        <v>110.1</v>
      </c>
      <c r="I24" s="18">
        <f>(D24*H24)/1000</f>
      </c>
      <c r="J24" s="2"/>
      <c r="K24" s="2"/>
      <c r="L24" s="2"/>
      <c r="M24" s="2"/>
      <c r="N24" s="2"/>
      <c r="O24" s="2"/>
    </row>
    <row x14ac:dyDescent="0.25" r="25" customHeight="1" ht="18.75">
      <c r="A25" s="14" t="s">
        <v>56</v>
      </c>
      <c r="B25" s="15">
        <v>45467</v>
      </c>
      <c r="C25" s="16" t="s">
        <v>31</v>
      </c>
      <c r="D25" s="17">
        <v>16</v>
      </c>
      <c r="E25" s="19">
        <v>1975.4</v>
      </c>
      <c r="F25" s="18">
        <v>1.84</v>
      </c>
      <c r="G25" s="18">
        <v>1.9</v>
      </c>
      <c r="H25" s="18">
        <v>138.5</v>
      </c>
      <c r="I25" s="18">
        <f>(D25*H25)/1000</f>
      </c>
      <c r="J25" s="2"/>
      <c r="K25" s="2"/>
      <c r="L25" s="2"/>
      <c r="M25" s="2"/>
      <c r="N25" s="2"/>
      <c r="O25" s="2"/>
    </row>
    <row x14ac:dyDescent="0.25" r="26" customHeight="1" ht="18.75">
      <c r="A26" s="14" t="s">
        <v>56</v>
      </c>
      <c r="B26" s="15">
        <v>45464</v>
      </c>
      <c r="C26" s="16" t="s">
        <v>29</v>
      </c>
      <c r="D26" s="17">
        <v>16</v>
      </c>
      <c r="E26" s="19">
        <v>757.2</v>
      </c>
      <c r="F26" s="18">
        <v>1.91</v>
      </c>
      <c r="G26" s="18">
        <v>2.03</v>
      </c>
      <c r="H26" s="18">
        <v>65.5</v>
      </c>
      <c r="I26" s="18">
        <f>(D26*H26)/1000</f>
      </c>
      <c r="J26" s="2"/>
      <c r="K26" s="2"/>
      <c r="L26" s="2"/>
      <c r="M26" s="2"/>
      <c r="N26" s="2"/>
      <c r="O26" s="2"/>
    </row>
    <row x14ac:dyDescent="0.25" r="27" customHeight="1" ht="18.75">
      <c r="A27" s="14" t="s">
        <v>57</v>
      </c>
      <c r="B27" s="15">
        <v>45468</v>
      </c>
      <c r="C27" s="16" t="s">
        <v>31</v>
      </c>
      <c r="D27" s="17">
        <v>16</v>
      </c>
      <c r="E27" s="19">
        <v>1987.7</v>
      </c>
      <c r="F27" s="18">
        <v>1.7</v>
      </c>
      <c r="G27" s="18">
        <v>1.47</v>
      </c>
      <c r="H27" s="18">
        <v>103.4</v>
      </c>
      <c r="I27" s="18">
        <f>(D27*H27)/1000</f>
      </c>
      <c r="J27" s="2"/>
      <c r="K27" s="2"/>
      <c r="L27" s="2"/>
      <c r="M27" s="2"/>
      <c r="N27" s="2"/>
      <c r="O27" s="2"/>
    </row>
    <row x14ac:dyDescent="0.25" r="28" customHeight="1" ht="18.75">
      <c r="A28" s="14" t="s">
        <v>58</v>
      </c>
      <c r="B28" s="15">
        <v>45467</v>
      </c>
      <c r="C28" s="16" t="s">
        <v>31</v>
      </c>
      <c r="D28" s="17">
        <v>16</v>
      </c>
      <c r="E28" s="19">
        <v>1215</v>
      </c>
      <c r="F28" s="18">
        <v>1.78</v>
      </c>
      <c r="G28" s="18">
        <v>1.69</v>
      </c>
      <c r="H28" s="18">
        <v>132.1</v>
      </c>
      <c r="I28" s="18">
        <f>(D28*H28)/1000</f>
      </c>
      <c r="J28" s="2"/>
      <c r="K28" s="2"/>
      <c r="L28" s="2"/>
      <c r="M28" s="2"/>
      <c r="N28" s="2"/>
      <c r="O28" s="2"/>
    </row>
    <row x14ac:dyDescent="0.25" r="29" customHeight="1" ht="18.75">
      <c r="A29" s="14" t="s">
        <v>59</v>
      </c>
      <c r="B29" s="15">
        <v>45464</v>
      </c>
      <c r="C29" s="16" t="s">
        <v>29</v>
      </c>
      <c r="D29" s="17">
        <v>16</v>
      </c>
      <c r="E29" s="19">
        <v>1250.1</v>
      </c>
      <c r="F29" s="18">
        <v>1.84</v>
      </c>
      <c r="G29" s="18">
        <v>1.81</v>
      </c>
      <c r="H29" s="18">
        <v>95.4</v>
      </c>
      <c r="I29" s="18">
        <f>(D29*H29)/1000</f>
      </c>
      <c r="J29" s="2"/>
      <c r="K29" s="2"/>
      <c r="L29" s="2"/>
      <c r="M29" s="2"/>
      <c r="N29" s="2"/>
      <c r="O29" s="2"/>
    </row>
    <row x14ac:dyDescent="0.25" r="30" customHeight="1" ht="18.75">
      <c r="A30" s="14" t="s">
        <v>60</v>
      </c>
      <c r="B30" s="15">
        <v>45464</v>
      </c>
      <c r="C30" s="16" t="s">
        <v>29</v>
      </c>
      <c r="D30" s="17">
        <v>16</v>
      </c>
      <c r="E30" s="19">
        <v>692.9</v>
      </c>
      <c r="F30" s="18">
        <v>1.75</v>
      </c>
      <c r="G30" s="18">
        <v>1.57</v>
      </c>
      <c r="H30" s="17">
        <v>95</v>
      </c>
      <c r="I30" s="18">
        <f>(D30*H30)/1000</f>
      </c>
      <c r="J30" s="2"/>
      <c r="K30" s="2"/>
      <c r="L30" s="2"/>
      <c r="M30" s="2"/>
      <c r="N30" s="2"/>
      <c r="O30" s="2"/>
    </row>
    <row x14ac:dyDescent="0.25" r="31" customHeight="1" ht="18.75">
      <c r="A31" s="14" t="s">
        <v>61</v>
      </c>
      <c r="B31" s="15">
        <v>45485</v>
      </c>
      <c r="C31" s="16" t="s">
        <v>29</v>
      </c>
      <c r="D31" s="17">
        <v>12</v>
      </c>
      <c r="E31" s="19">
        <v>785.6</v>
      </c>
      <c r="F31" s="18">
        <v>1.97</v>
      </c>
      <c r="G31" s="18">
        <v>2.25</v>
      </c>
      <c r="H31" s="18">
        <v>126.75</v>
      </c>
      <c r="I31" s="18">
        <f>(D31*H31)/1000</f>
      </c>
      <c r="J31" s="2"/>
      <c r="K31" s="2"/>
      <c r="L31" s="2"/>
      <c r="M31" s="2"/>
      <c r="N31" s="2"/>
      <c r="O31" s="2"/>
    </row>
    <row x14ac:dyDescent="0.25" r="32" customHeight="1" ht="18.75">
      <c r="A32" s="14" t="s">
        <v>62</v>
      </c>
      <c r="B32" s="15">
        <v>45485</v>
      </c>
      <c r="C32" s="16" t="s">
        <v>29</v>
      </c>
      <c r="D32" s="17">
        <v>12</v>
      </c>
      <c r="E32" s="19">
        <v>746.9</v>
      </c>
      <c r="F32" s="17">
        <v>2</v>
      </c>
      <c r="G32" s="18">
        <v>2.25</v>
      </c>
      <c r="H32" s="18">
        <v>124.15</v>
      </c>
      <c r="I32" s="18">
        <f>(D32*H32)/1000</f>
      </c>
      <c r="J32" s="2"/>
      <c r="K32" s="2"/>
      <c r="L32" s="2"/>
      <c r="M32" s="2"/>
      <c r="N32" s="2"/>
      <c r="O32" s="2"/>
    </row>
    <row x14ac:dyDescent="0.25" r="33" customHeight="1" ht="18.75">
      <c r="A33" s="14" t="s">
        <v>63</v>
      </c>
      <c r="B33" s="15">
        <v>45467</v>
      </c>
      <c r="C33" s="16" t="s">
        <v>31</v>
      </c>
      <c r="D33" s="17">
        <v>16</v>
      </c>
      <c r="E33" s="19">
        <v>1331.6</v>
      </c>
      <c r="F33" s="18">
        <v>1.88</v>
      </c>
      <c r="G33" s="18">
        <v>1.94</v>
      </c>
      <c r="H33" s="18">
        <v>105.8</v>
      </c>
      <c r="I33" s="18">
        <f>(D33*H33)/1000</f>
      </c>
      <c r="J33" s="2"/>
      <c r="K33" s="2"/>
      <c r="L33" s="2"/>
      <c r="M33" s="2"/>
      <c r="N33" s="2"/>
      <c r="O33" s="2"/>
    </row>
    <row x14ac:dyDescent="0.25" r="34" customHeight="1" ht="18.75">
      <c r="A34" s="14" t="s">
        <v>64</v>
      </c>
      <c r="B34" s="15">
        <v>45464</v>
      </c>
      <c r="C34" s="16" t="s">
        <v>29</v>
      </c>
      <c r="D34" s="17">
        <v>16</v>
      </c>
      <c r="E34" s="19">
        <v>693.9</v>
      </c>
      <c r="F34" s="18">
        <v>1.97</v>
      </c>
      <c r="G34" s="18">
        <v>2.21</v>
      </c>
      <c r="H34" s="18">
        <v>66.7</v>
      </c>
      <c r="I34" s="18">
        <f>(D34*H34)/1000</f>
      </c>
      <c r="J34" s="2"/>
      <c r="K34" s="2"/>
      <c r="L34" s="2"/>
      <c r="M34" s="2"/>
      <c r="N34" s="2"/>
      <c r="O34" s="2"/>
    </row>
    <row x14ac:dyDescent="0.25" r="35" customHeight="1" ht="18.75">
      <c r="A35" s="14" t="s">
        <v>65</v>
      </c>
      <c r="B35" s="15">
        <v>45485</v>
      </c>
      <c r="C35" s="16" t="s">
        <v>29</v>
      </c>
      <c r="D35" s="17">
        <v>12</v>
      </c>
      <c r="E35" s="18">
        <v>763.4</v>
      </c>
      <c r="F35" s="18">
        <v>1.97</v>
      </c>
      <c r="G35" s="18">
        <v>2.2</v>
      </c>
      <c r="H35" s="18">
        <v>125.54</v>
      </c>
      <c r="I35" s="18">
        <f>(D35*H35)/1000</f>
      </c>
      <c r="J35" s="2"/>
      <c r="K35" s="2"/>
      <c r="L35" s="2"/>
      <c r="M35" s="2"/>
      <c r="N35" s="2"/>
      <c r="O35" s="2"/>
    </row>
    <row x14ac:dyDescent="0.25" r="36" customHeight="1" ht="18.75">
      <c r="A36" s="14" t="s">
        <v>66</v>
      </c>
      <c r="B36" s="15">
        <v>45485</v>
      </c>
      <c r="C36" s="16" t="s">
        <v>29</v>
      </c>
      <c r="D36" s="17">
        <v>14</v>
      </c>
      <c r="E36" s="18">
        <v>872.2</v>
      </c>
      <c r="F36" s="18">
        <v>2.01</v>
      </c>
      <c r="G36" s="18">
        <v>2.26</v>
      </c>
      <c r="H36" s="18">
        <v>217.13</v>
      </c>
      <c r="I36" s="18">
        <f>(D36*H36)/1000</f>
      </c>
      <c r="J36" s="2"/>
      <c r="K36" s="2"/>
      <c r="L36" s="2"/>
      <c r="M36" s="2"/>
      <c r="N36" s="2"/>
      <c r="O36" s="2"/>
    </row>
    <row x14ac:dyDescent="0.25" r="37" customHeight="1" ht="18.75">
      <c r="A37" s="14" t="s">
        <v>67</v>
      </c>
      <c r="B37" s="15">
        <v>45467</v>
      </c>
      <c r="C37" s="16" t="s">
        <v>31</v>
      </c>
      <c r="D37" s="17">
        <v>16</v>
      </c>
      <c r="E37" s="19">
        <v>1042.1</v>
      </c>
      <c r="F37" s="18">
        <v>1.7</v>
      </c>
      <c r="G37" s="18">
        <v>1.47</v>
      </c>
      <c r="H37" s="18">
        <v>92.9</v>
      </c>
      <c r="I37" s="18">
        <f>(D37*H37)/1000</f>
      </c>
      <c r="J37" s="2"/>
      <c r="K37" s="2"/>
      <c r="L37" s="2"/>
      <c r="M37" s="2"/>
      <c r="N37" s="2"/>
      <c r="O37" s="2"/>
    </row>
    <row x14ac:dyDescent="0.25" r="38" customHeight="1" ht="18.75">
      <c r="A38" s="14" t="s">
        <v>68</v>
      </c>
      <c r="B38" s="15">
        <v>45485</v>
      </c>
      <c r="C38" s="16" t="s">
        <v>29</v>
      </c>
      <c r="D38" s="17">
        <v>14</v>
      </c>
      <c r="E38" s="18">
        <v>324.8</v>
      </c>
      <c r="F38" s="18">
        <v>2.01</v>
      </c>
      <c r="G38" s="18">
        <v>2.14</v>
      </c>
      <c r="H38" s="18">
        <v>111.66</v>
      </c>
      <c r="I38" s="18">
        <f>(D38*H38)/1000</f>
      </c>
      <c r="J38" s="2"/>
      <c r="K38" s="2"/>
      <c r="L38" s="2"/>
      <c r="M38" s="2"/>
      <c r="N38" s="2"/>
      <c r="O38" s="2"/>
    </row>
    <row x14ac:dyDescent="0.25" r="39" customHeight="1" ht="18.75">
      <c r="A39" s="14" t="s">
        <v>69</v>
      </c>
      <c r="B39" s="15">
        <v>45485</v>
      </c>
      <c r="C39" s="16" t="s">
        <v>29</v>
      </c>
      <c r="D39" s="17">
        <v>14</v>
      </c>
      <c r="E39" s="18">
        <v>641.8</v>
      </c>
      <c r="F39" s="18">
        <v>1.95</v>
      </c>
      <c r="G39" s="18">
        <v>2.11</v>
      </c>
      <c r="H39" s="18">
        <v>189.78</v>
      </c>
      <c r="I39" s="18">
        <f>(D39*H39)/1000</f>
      </c>
      <c r="J39" s="2"/>
      <c r="K39" s="2"/>
      <c r="L39" s="2"/>
      <c r="M39" s="2"/>
      <c r="N39" s="2"/>
      <c r="O39" s="2"/>
    </row>
    <row x14ac:dyDescent="0.25" r="40" customHeight="1" ht="18.75">
      <c r="A40" s="14" t="s">
        <v>70</v>
      </c>
      <c r="B40" s="15">
        <v>45485</v>
      </c>
      <c r="C40" s="16" t="s">
        <v>29</v>
      </c>
      <c r="D40" s="17">
        <v>14</v>
      </c>
      <c r="E40" s="18">
        <v>598.3</v>
      </c>
      <c r="F40" s="18">
        <v>1.95</v>
      </c>
      <c r="G40" s="18">
        <v>2.01</v>
      </c>
      <c r="H40" s="18">
        <v>168.07</v>
      </c>
      <c r="I40" s="18">
        <f>(D40*H40)/1000</f>
      </c>
      <c r="J40" s="2"/>
      <c r="K40" s="2"/>
      <c r="L40" s="2"/>
      <c r="M40" s="2"/>
      <c r="N40" s="2"/>
      <c r="O40" s="2"/>
    </row>
    <row x14ac:dyDescent="0.25" r="41" customHeight="1" ht="18.75">
      <c r="A41" s="14" t="s">
        <v>71</v>
      </c>
      <c r="B41" s="15">
        <v>45467</v>
      </c>
      <c r="C41" s="16" t="s">
        <v>31</v>
      </c>
      <c r="D41" s="17">
        <v>16</v>
      </c>
      <c r="E41" s="19">
        <v>1679.4</v>
      </c>
      <c r="F41" s="18">
        <v>1.8</v>
      </c>
      <c r="G41" s="18">
        <v>1.68</v>
      </c>
      <c r="H41" s="18">
        <v>115.1</v>
      </c>
      <c r="I41" s="18">
        <f>(D41*H41)/1000</f>
      </c>
      <c r="J41" s="2"/>
      <c r="K41" s="2"/>
      <c r="L41" s="2"/>
      <c r="M41" s="2"/>
      <c r="N41" s="2"/>
      <c r="O41" s="2"/>
    </row>
    <row x14ac:dyDescent="0.25" r="42" customHeight="1" ht="18.75">
      <c r="A42" s="23" t="s">
        <v>72</v>
      </c>
      <c r="B42" s="24">
        <v>45422</v>
      </c>
      <c r="C42" s="25" t="s">
        <v>73</v>
      </c>
      <c r="D42" s="26">
        <v>14</v>
      </c>
      <c r="E42" s="27">
        <v>1124.9</v>
      </c>
      <c r="F42" s="28">
        <v>2.03</v>
      </c>
      <c r="G42" s="28">
        <v>2.21</v>
      </c>
      <c r="H42" s="27">
        <v>87.35977575332866</v>
      </c>
      <c r="I42" s="28">
        <f>(D42*H42)/1000</f>
      </c>
      <c r="J42" s="2"/>
      <c r="K42" s="19"/>
      <c r="L42" s="2"/>
      <c r="M42" s="2"/>
      <c r="N42" s="2"/>
      <c r="O42" s="2"/>
    </row>
    <row x14ac:dyDescent="0.25" r="43" customHeight="1" ht="18.75">
      <c r="A43" s="14" t="s">
        <v>74</v>
      </c>
      <c r="B43" s="15">
        <v>45489</v>
      </c>
      <c r="C43" s="16" t="s">
        <v>75</v>
      </c>
      <c r="D43" s="17">
        <v>14</v>
      </c>
      <c r="E43" s="19">
        <v>324.8</v>
      </c>
      <c r="F43" s="18">
        <v>2.01</v>
      </c>
      <c r="G43" s="18">
        <v>2.14</v>
      </c>
      <c r="H43" s="19">
        <v>111.66000776374332</v>
      </c>
      <c r="I43" s="18">
        <f>(D43*H43)/1000</f>
      </c>
      <c r="J43" s="2"/>
      <c r="K43" s="2"/>
      <c r="L43" s="2"/>
      <c r="M43" s="2"/>
      <c r="N43" s="2"/>
      <c r="O43" s="2"/>
    </row>
    <row x14ac:dyDescent="0.25" r="44" customHeight="1" ht="18.75">
      <c r="A44" s="14" t="s">
        <v>74</v>
      </c>
      <c r="B44" s="15">
        <v>45489</v>
      </c>
      <c r="C44" s="16" t="s">
        <v>75</v>
      </c>
      <c r="D44" s="17">
        <v>14</v>
      </c>
      <c r="E44" s="18">
        <v>641.8</v>
      </c>
      <c r="F44" s="18">
        <v>1.95</v>
      </c>
      <c r="G44" s="18">
        <v>2.11</v>
      </c>
      <c r="H44" s="19">
        <v>189.77819582549495</v>
      </c>
      <c r="I44" s="18">
        <f>(D44*H44)/1000</f>
      </c>
      <c r="J44" s="2"/>
      <c r="K44" s="19"/>
      <c r="L44" s="2"/>
      <c r="M44" s="2"/>
      <c r="N44" s="2"/>
      <c r="O44" s="2"/>
    </row>
    <row x14ac:dyDescent="0.25" r="45" customHeight="1" ht="18.75">
      <c r="A45" s="14" t="s">
        <v>74</v>
      </c>
      <c r="B45" s="15">
        <v>45489</v>
      </c>
      <c r="C45" s="16" t="s">
        <v>75</v>
      </c>
      <c r="D45" s="17">
        <v>14</v>
      </c>
      <c r="E45" s="18">
        <v>589.3</v>
      </c>
      <c r="F45" s="18">
        <v>1.95</v>
      </c>
      <c r="G45" s="18">
        <v>2.01</v>
      </c>
      <c r="H45" s="19">
        <v>168.06509600167217</v>
      </c>
      <c r="I45" s="18">
        <f>(D45*H45)/1000</f>
      </c>
      <c r="J45" s="2"/>
      <c r="K45" s="2"/>
      <c r="L45" s="2"/>
      <c r="M45" s="2"/>
      <c r="N45" s="2"/>
      <c r="O45" s="2"/>
    </row>
    <row x14ac:dyDescent="0.25" r="46" customHeight="1" ht="18.75">
      <c r="A46" s="20" t="s">
        <v>76</v>
      </c>
      <c r="B46" s="15">
        <v>45489</v>
      </c>
      <c r="C46" s="16" t="s">
        <v>75</v>
      </c>
      <c r="D46" s="17">
        <v>16</v>
      </c>
      <c r="E46" s="30"/>
      <c r="F46" s="30"/>
      <c r="G46" s="30"/>
      <c r="H46" s="19">
        <v>95.9624386825508</v>
      </c>
      <c r="I46" s="18">
        <f>(D46*H46)/1000</f>
      </c>
      <c r="J46" s="2"/>
      <c r="K46" s="2"/>
      <c r="L46" s="2"/>
      <c r="M46" s="2"/>
      <c r="N46" s="2"/>
      <c r="O46" s="2"/>
    </row>
    <row x14ac:dyDescent="0.25" r="47" customHeight="1" ht="18.75">
      <c r="A47" s="14" t="s">
        <v>77</v>
      </c>
      <c r="B47" s="15">
        <v>45489</v>
      </c>
      <c r="C47" s="16" t="s">
        <v>75</v>
      </c>
      <c r="D47" s="17">
        <v>12</v>
      </c>
      <c r="E47" s="17">
        <v>1051</v>
      </c>
      <c r="F47" s="18">
        <v>1.97</v>
      </c>
      <c r="G47" s="18">
        <v>2.06</v>
      </c>
      <c r="H47" s="19">
        <v>80.27358093903293</v>
      </c>
      <c r="I47" s="18">
        <f>(D47*H47)/1000</f>
      </c>
      <c r="J47" s="2"/>
      <c r="K47" s="2"/>
      <c r="L47" s="2"/>
      <c r="M47" s="2"/>
      <c r="N47" s="2"/>
      <c r="O47" s="2"/>
    </row>
    <row x14ac:dyDescent="0.25" r="48" customHeight="1" ht="18.75">
      <c r="A48" s="14" t="s">
        <v>78</v>
      </c>
      <c r="B48" s="15">
        <v>45489</v>
      </c>
      <c r="C48" s="16" t="s">
        <v>75</v>
      </c>
      <c r="D48" s="17">
        <v>12</v>
      </c>
      <c r="E48" s="18">
        <v>1316.2</v>
      </c>
      <c r="F48" s="18">
        <v>1.94</v>
      </c>
      <c r="G48" s="18">
        <v>1.95</v>
      </c>
      <c r="H48" s="19">
        <v>13.036019621583744</v>
      </c>
      <c r="I48" s="18">
        <f>(D48*H48)/1000</f>
      </c>
      <c r="J48" s="2"/>
      <c r="K48" s="2"/>
      <c r="L48" s="2"/>
      <c r="M48" s="2"/>
      <c r="N48" s="2"/>
      <c r="O48" s="2"/>
    </row>
    <row x14ac:dyDescent="0.25" r="49" customHeight="1" ht="18.75">
      <c r="A49" s="14" t="s">
        <v>79</v>
      </c>
      <c r="B49" s="15">
        <v>45489</v>
      </c>
      <c r="C49" s="16" t="s">
        <v>75</v>
      </c>
      <c r="D49" s="17">
        <v>16</v>
      </c>
      <c r="E49" s="30"/>
      <c r="F49" s="30"/>
      <c r="G49" s="30"/>
      <c r="H49" s="19">
        <v>32.61836019621584</v>
      </c>
      <c r="I49" s="18">
        <f>(D49*H49)/1000</f>
      </c>
      <c r="J49" s="2"/>
      <c r="K49" s="2"/>
      <c r="L49" s="2"/>
      <c r="M49" s="2"/>
      <c r="N49" s="2"/>
      <c r="O49" s="2"/>
    </row>
    <row x14ac:dyDescent="0.25" r="50" customHeight="1" ht="18.75">
      <c r="A50" s="14" t="s">
        <v>80</v>
      </c>
      <c r="B50" s="15">
        <v>45489</v>
      </c>
      <c r="C50" s="16" t="s">
        <v>75</v>
      </c>
      <c r="D50" s="17">
        <v>12</v>
      </c>
      <c r="E50" s="18">
        <v>536.7</v>
      </c>
      <c r="F50" s="18">
        <v>1.81</v>
      </c>
      <c r="G50" s="18">
        <v>1.78</v>
      </c>
      <c r="H50" s="19">
        <v>41.34155571128241</v>
      </c>
      <c r="I50" s="18">
        <f>(D50*H50)/1000</f>
      </c>
      <c r="J50" s="2"/>
      <c r="K50" s="2"/>
      <c r="L50" s="2"/>
      <c r="M50" s="2"/>
      <c r="N50" s="2"/>
      <c r="O50" s="2"/>
    </row>
    <row x14ac:dyDescent="0.25" r="51" customHeight="1" ht="18.75">
      <c r="A51" s="14" t="s">
        <v>81</v>
      </c>
      <c r="B51" s="15">
        <v>45489</v>
      </c>
      <c r="C51" s="16" t="s">
        <v>75</v>
      </c>
      <c r="D51" s="17">
        <v>12</v>
      </c>
      <c r="E51" s="18">
        <v>949.4</v>
      </c>
      <c r="F51" s="18">
        <v>1.92</v>
      </c>
      <c r="G51" s="18">
        <v>1.93</v>
      </c>
      <c r="H51" s="19">
        <v>3.656902592852138</v>
      </c>
      <c r="I51" s="18">
        <f>(D51*H51)/1000</f>
      </c>
      <c r="J51" s="2"/>
      <c r="K51" s="2"/>
      <c r="L51" s="2"/>
      <c r="M51" s="2"/>
      <c r="N51" s="2"/>
      <c r="O51" s="2"/>
    </row>
    <row x14ac:dyDescent="0.25" r="52" customHeight="1" ht="18.75">
      <c r="A52" s="14" t="s">
        <v>82</v>
      </c>
      <c r="B52" s="15">
        <v>45489</v>
      </c>
      <c r="C52" s="16" t="s">
        <v>75</v>
      </c>
      <c r="D52" s="17">
        <v>12</v>
      </c>
      <c r="E52" s="18">
        <v>805.7</v>
      </c>
      <c r="F52" s="18">
        <v>1.92</v>
      </c>
      <c r="G52" s="18">
        <v>2.06</v>
      </c>
      <c r="H52" s="19">
        <v>79.3093202522775</v>
      </c>
      <c r="I52" s="18">
        <f>(D52*H52)/1000</f>
      </c>
      <c r="J52" s="2"/>
      <c r="K52" s="2"/>
      <c r="L52" s="2"/>
      <c r="M52" s="2"/>
      <c r="N52" s="2"/>
      <c r="O52" s="2"/>
    </row>
    <row x14ac:dyDescent="0.25" r="53" customHeight="1" ht="18.75">
      <c r="A53" s="14" t="s">
        <v>83</v>
      </c>
      <c r="B53" s="15">
        <v>45489</v>
      </c>
      <c r="C53" s="16" t="s">
        <v>75</v>
      </c>
      <c r="D53" s="17">
        <v>12</v>
      </c>
      <c r="E53" s="18">
        <v>114.6</v>
      </c>
      <c r="F53" s="18">
        <v>1.93</v>
      </c>
      <c r="G53" s="18">
        <v>2.01</v>
      </c>
      <c r="H53" s="19">
        <v>61.70595655220742</v>
      </c>
      <c r="I53" s="18">
        <f>(D53*H53)/1000</f>
      </c>
      <c r="J53" s="2"/>
      <c r="K53" s="2"/>
      <c r="L53" s="2"/>
      <c r="M53" s="2"/>
      <c r="N53" s="2"/>
      <c r="O53" s="2"/>
    </row>
    <row x14ac:dyDescent="0.25" r="54" customHeight="1" ht="18.75">
      <c r="A54" s="14" t="s">
        <v>84</v>
      </c>
      <c r="B54" s="15">
        <v>45489</v>
      </c>
      <c r="C54" s="16" t="s">
        <v>75</v>
      </c>
      <c r="D54" s="17">
        <v>12</v>
      </c>
      <c r="E54" s="18">
        <v>1280.8</v>
      </c>
      <c r="F54" s="18">
        <v>1.9</v>
      </c>
      <c r="G54" s="18">
        <v>1.91</v>
      </c>
      <c r="H54" s="19">
        <v>47.67932725998598</v>
      </c>
      <c r="I54" s="18">
        <f>(D54*H54)/1000</f>
      </c>
      <c r="J54" s="2"/>
      <c r="K54" s="2"/>
      <c r="L54" s="2"/>
      <c r="M54" s="2"/>
      <c r="N54" s="2"/>
      <c r="O54" s="2"/>
    </row>
    <row x14ac:dyDescent="0.25" r="55" customHeight="1" ht="18.75">
      <c r="A55" s="14" t="s">
        <v>85</v>
      </c>
      <c r="B55" s="15">
        <v>45489</v>
      </c>
      <c r="C55" s="16" t="s">
        <v>75</v>
      </c>
      <c r="D55" s="17">
        <v>12</v>
      </c>
      <c r="E55" s="18">
        <v>939.5</v>
      </c>
      <c r="F55" s="18">
        <v>2.01</v>
      </c>
      <c r="G55" s="18">
        <v>2.18</v>
      </c>
      <c r="H55" s="19">
        <v>27.264470918009813</v>
      </c>
      <c r="I55" s="18">
        <f>(D55*H55)/1000</f>
      </c>
      <c r="J55" s="2"/>
      <c r="K55" s="19"/>
      <c r="L55" s="2"/>
      <c r="M55" s="2"/>
      <c r="N55" s="2"/>
      <c r="O55" s="2"/>
    </row>
    <row x14ac:dyDescent="0.25" r="56" customHeight="1" ht="18.75">
      <c r="A56" s="14" t="s">
        <v>86</v>
      </c>
      <c r="B56" s="15">
        <v>45489</v>
      </c>
      <c r="C56" s="16" t="s">
        <v>75</v>
      </c>
      <c r="D56" s="17">
        <v>12</v>
      </c>
      <c r="E56" s="18">
        <v>704.8</v>
      </c>
      <c r="F56" s="18">
        <v>1.88</v>
      </c>
      <c r="G56" s="18">
        <v>1.96</v>
      </c>
      <c r="H56" s="19">
        <v>36.595935529082</v>
      </c>
      <c r="I56" s="18">
        <f>(D56*H56)/1000</f>
      </c>
      <c r="J56" s="2"/>
      <c r="K56" s="2"/>
      <c r="L56" s="2"/>
      <c r="M56" s="2"/>
      <c r="N56" s="2"/>
      <c r="O56" s="2"/>
    </row>
    <row x14ac:dyDescent="0.25" r="57" customHeight="1" ht="18.75">
      <c r="A57" s="14" t="s">
        <v>87</v>
      </c>
      <c r="B57" s="15">
        <v>45489</v>
      </c>
      <c r="C57" s="16" t="s">
        <v>75</v>
      </c>
      <c r="D57" s="17">
        <v>12</v>
      </c>
      <c r="E57" s="18">
        <v>1196.7</v>
      </c>
      <c r="F57" s="18">
        <v>2.01</v>
      </c>
      <c r="G57" s="18">
        <v>2.1</v>
      </c>
      <c r="H57" s="19">
        <v>40</v>
      </c>
      <c r="I57" s="18">
        <f>(D57*H57)/1000</f>
      </c>
      <c r="J57" s="2"/>
      <c r="K57" s="19"/>
      <c r="L57" s="2"/>
      <c r="M57" s="2"/>
      <c r="N57" s="2"/>
      <c r="O5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6"/>
  <sheetViews>
    <sheetView workbookViewId="0" tabSelected="1"/>
  </sheetViews>
  <sheetFormatPr defaultRowHeight="15" x14ac:dyDescent="0.25"/>
  <cols>
    <col min="1" max="1" style="6" width="13.719285714285713" customWidth="1" bestFit="1"/>
    <col min="2" max="2" style="7" width="14.862142857142858" customWidth="1" bestFit="1"/>
    <col min="3" max="3" style="7" width="11.719285714285713" customWidth="1" bestFit="1"/>
    <col min="4" max="4" style="6" width="9.576428571428572" customWidth="1" bestFit="1"/>
    <col min="5" max="5" style="8" width="8.290714285714287" customWidth="1" bestFit="1"/>
    <col min="6" max="6" style="8" width="13.576428571428572" customWidth="1" bestFit="1"/>
    <col min="7" max="7" style="7" width="13.576428571428572" customWidth="1" bestFit="1"/>
    <col min="8" max="8" style="7" width="13.576428571428572" customWidth="1" bestFit="1"/>
  </cols>
  <sheetData>
    <row x14ac:dyDescent="0.25" r="1" customHeight="1" ht="18.75">
      <c r="A1" s="1"/>
      <c r="B1" s="2"/>
      <c r="C1" s="2"/>
      <c r="D1" s="1"/>
      <c r="E1" s="3" t="s">
        <v>0</v>
      </c>
      <c r="F1" s="3" t="s">
        <v>0</v>
      </c>
      <c r="G1" s="2"/>
      <c r="H1" s="2"/>
    </row>
    <row x14ac:dyDescent="0.25" r="2" customHeight="1" ht="18.75">
      <c r="A2" s="1" t="s">
        <v>1</v>
      </c>
      <c r="B2" s="2" t="s">
        <v>2</v>
      </c>
      <c r="C2" s="2" t="s">
        <v>3</v>
      </c>
      <c r="D2" s="1" t="s">
        <v>4</v>
      </c>
      <c r="E2" s="3" t="s">
        <v>5</v>
      </c>
      <c r="F2" s="3" t="s">
        <v>6</v>
      </c>
      <c r="G2" s="2"/>
      <c r="H2" s="2"/>
    </row>
    <row x14ac:dyDescent="0.25" r="3" customHeight="1" ht="18.75">
      <c r="A3" s="4">
        <v>1</v>
      </c>
      <c r="B3" s="2" t="s">
        <v>7</v>
      </c>
      <c r="C3" s="2" t="s">
        <v>8</v>
      </c>
      <c r="D3" s="4">
        <v>44</v>
      </c>
      <c r="E3" s="5">
        <v>317.15</v>
      </c>
      <c r="F3" s="5">
        <v>4.5674</v>
      </c>
      <c r="G3" s="2"/>
      <c r="H3" s="2"/>
    </row>
    <row x14ac:dyDescent="0.25" r="4" customHeight="1" ht="18.75">
      <c r="A4" s="4">
        <v>2</v>
      </c>
      <c r="B4" s="2" t="s">
        <v>7</v>
      </c>
      <c r="C4" s="2" t="s">
        <v>9</v>
      </c>
      <c r="D4" s="4">
        <v>56</v>
      </c>
      <c r="E4" s="5">
        <v>422.19</v>
      </c>
      <c r="F4" s="5">
        <v>5.75628</v>
      </c>
      <c r="G4" s="2"/>
      <c r="H4" s="2"/>
    </row>
    <row x14ac:dyDescent="0.25" r="5" customHeight="1" ht="18.75">
      <c r="A5" s="4">
        <v>3</v>
      </c>
      <c r="B5" s="2" t="s">
        <v>7</v>
      </c>
      <c r="C5" s="2" t="s">
        <v>10</v>
      </c>
      <c r="D5" s="4">
        <v>58</v>
      </c>
      <c r="E5" s="5">
        <v>611.4699999999999</v>
      </c>
      <c r="F5" s="5">
        <v>8.74638</v>
      </c>
      <c r="G5" s="2"/>
      <c r="H5" s="2"/>
    </row>
    <row x14ac:dyDescent="0.25" r="6" customHeight="1" ht="18.75">
      <c r="A6" s="4">
        <v>4</v>
      </c>
      <c r="B6" s="2" t="s">
        <v>11</v>
      </c>
      <c r="C6" s="2" t="s">
        <v>8</v>
      </c>
      <c r="D6" s="4">
        <v>36</v>
      </c>
      <c r="E6" s="5">
        <v>369.93</v>
      </c>
      <c r="F6" s="5">
        <v>4.43916</v>
      </c>
      <c r="G6" s="2"/>
      <c r="H6" s="2"/>
    </row>
    <row x14ac:dyDescent="0.25" r="7" customHeight="1" ht="18.75">
      <c r="A7" s="4">
        <v>5</v>
      </c>
      <c r="B7" s="2" t="s">
        <v>11</v>
      </c>
      <c r="C7" s="2" t="s">
        <v>9</v>
      </c>
      <c r="D7" s="4">
        <v>32</v>
      </c>
      <c r="E7" s="5">
        <v>184.7</v>
      </c>
      <c r="F7" s="5">
        <v>2.9551999999999996</v>
      </c>
      <c r="G7" s="2"/>
      <c r="H7" s="2"/>
    </row>
    <row x14ac:dyDescent="0.25" r="8" customHeight="1" ht="18.75">
      <c r="A8" s="4">
        <v>6</v>
      </c>
      <c r="B8" s="2" t="s">
        <v>11</v>
      </c>
      <c r="C8" s="2" t="s">
        <v>10</v>
      </c>
      <c r="D8" s="4">
        <v>64</v>
      </c>
      <c r="E8" s="5">
        <v>439.5</v>
      </c>
      <c r="F8" s="5">
        <v>7.032</v>
      </c>
      <c r="G8" s="2"/>
      <c r="H8" s="2"/>
    </row>
    <row x14ac:dyDescent="0.25" r="9" customHeight="1" ht="18.75">
      <c r="A9" s="4">
        <v>7</v>
      </c>
      <c r="B9" s="2" t="s">
        <v>12</v>
      </c>
      <c r="C9" s="2" t="s">
        <v>8</v>
      </c>
      <c r="D9" s="4">
        <v>30</v>
      </c>
      <c r="E9" s="5">
        <v>290.99</v>
      </c>
      <c r="F9" s="5">
        <v>4.30846</v>
      </c>
      <c r="G9" s="2"/>
      <c r="H9" s="2"/>
    </row>
    <row x14ac:dyDescent="0.25" r="10" customHeight="1" ht="18.75">
      <c r="A10" s="4">
        <v>8</v>
      </c>
      <c r="B10" s="2" t="s">
        <v>12</v>
      </c>
      <c r="C10" s="2" t="s">
        <v>9</v>
      </c>
      <c r="D10" s="4">
        <v>30</v>
      </c>
      <c r="E10" s="5">
        <v>310.72</v>
      </c>
      <c r="F10" s="5">
        <v>4.548080000000001</v>
      </c>
      <c r="G10" s="2"/>
      <c r="H10" s="2"/>
    </row>
    <row x14ac:dyDescent="0.25" r="11" customHeight="1" ht="18.75">
      <c r="A11" s="4">
        <v>9</v>
      </c>
      <c r="B11" s="2" t="s">
        <v>12</v>
      </c>
      <c r="C11" s="2" t="s">
        <v>10</v>
      </c>
      <c r="D11" s="4">
        <v>30</v>
      </c>
      <c r="E11" s="5">
        <v>283.57</v>
      </c>
      <c r="F11" s="5">
        <v>4.1117799999999995</v>
      </c>
      <c r="G11" s="2"/>
      <c r="H11" s="2"/>
    </row>
    <row x14ac:dyDescent="0.25" r="12" customHeight="1" ht="18.75">
      <c r="A12" s="4">
        <v>10</v>
      </c>
      <c r="B12" s="2" t="s">
        <v>13</v>
      </c>
      <c r="C12" s="2" t="s">
        <v>8</v>
      </c>
      <c r="D12" s="4">
        <v>27</v>
      </c>
      <c r="E12" s="5">
        <v>306.02957953749126</v>
      </c>
      <c r="F12" s="5">
        <v>4.175414533987386</v>
      </c>
      <c r="G12" s="2"/>
      <c r="H12" s="2"/>
    </row>
    <row x14ac:dyDescent="0.25" r="13" customHeight="1" ht="18.75">
      <c r="A13" s="4">
        <v>11</v>
      </c>
      <c r="B13" s="2" t="s">
        <v>13</v>
      </c>
      <c r="C13" s="2" t="s">
        <v>9</v>
      </c>
      <c r="D13" s="4">
        <v>14</v>
      </c>
      <c r="E13" s="5">
        <v>58.89446391030133</v>
      </c>
      <c r="F13" s="5">
        <v>0.8245224947442187</v>
      </c>
      <c r="G13" s="2"/>
      <c r="H13" s="2"/>
    </row>
    <row x14ac:dyDescent="0.25" r="14" customHeight="1" ht="18.75">
      <c r="A14" s="4">
        <v>12</v>
      </c>
      <c r="B14" s="2" t="s">
        <v>13</v>
      </c>
      <c r="C14" s="2" t="s">
        <v>10</v>
      </c>
      <c r="D14" s="4">
        <v>28</v>
      </c>
      <c r="E14" s="5">
        <v>190.86811492641905</v>
      </c>
      <c r="F14" s="5">
        <v>2.6721536089698668</v>
      </c>
      <c r="G14" s="2"/>
      <c r="H14" s="2"/>
    </row>
    <row x14ac:dyDescent="0.25" r="15" customHeight="1" ht="18.75">
      <c r="A15" s="4">
        <v>13</v>
      </c>
      <c r="B15" s="2" t="s">
        <v>14</v>
      </c>
      <c r="C15" s="2" t="s">
        <v>8</v>
      </c>
      <c r="D15" s="4">
        <v>16</v>
      </c>
      <c r="E15" s="5">
        <v>73.6</v>
      </c>
      <c r="F15" s="5">
        <v>1.1776</v>
      </c>
      <c r="G15" s="2"/>
      <c r="H15" s="2"/>
    </row>
    <row x14ac:dyDescent="0.25" r="16" customHeight="1" ht="18.75">
      <c r="A16" s="4">
        <v>14</v>
      </c>
      <c r="B16" s="2" t="s">
        <v>14</v>
      </c>
      <c r="C16" s="2" t="s">
        <v>9</v>
      </c>
      <c r="D16" s="4">
        <v>28</v>
      </c>
      <c r="E16" s="5">
        <v>197.60999999999999</v>
      </c>
      <c r="F16" s="5">
        <v>2.61772</v>
      </c>
      <c r="G16" s="2"/>
      <c r="H16" s="2"/>
    </row>
    <row x14ac:dyDescent="0.25" r="17" customHeight="1" ht="18.75">
      <c r="A17" s="4">
        <v>15</v>
      </c>
      <c r="B17" s="2" t="s">
        <v>14</v>
      </c>
      <c r="C17" s="2" t="s">
        <v>10</v>
      </c>
      <c r="D17" s="4">
        <v>28</v>
      </c>
      <c r="E17" s="5">
        <v>193.14</v>
      </c>
      <c r="F17" s="5">
        <v>2.59168</v>
      </c>
      <c r="G17" s="2"/>
      <c r="H17" s="2"/>
    </row>
    <row x14ac:dyDescent="0.25" r="18" customHeight="1" ht="18.75">
      <c r="A18" s="4">
        <v>16</v>
      </c>
      <c r="B18" s="2" t="s">
        <v>15</v>
      </c>
      <c r="C18" s="2" t="s">
        <v>8</v>
      </c>
      <c r="D18" s="4">
        <v>14</v>
      </c>
      <c r="E18" s="5">
        <v>168.07</v>
      </c>
      <c r="F18" s="5">
        <v>2.35298</v>
      </c>
      <c r="G18" s="2"/>
      <c r="H18" s="2"/>
    </row>
    <row x14ac:dyDescent="0.25" r="19" customHeight="1" ht="18.75">
      <c r="A19" s="4">
        <v>17</v>
      </c>
      <c r="B19" s="2" t="s">
        <v>15</v>
      </c>
      <c r="C19" s="2" t="s">
        <v>9</v>
      </c>
      <c r="D19" s="4">
        <v>30</v>
      </c>
      <c r="E19" s="5">
        <v>202.45977575332864</v>
      </c>
      <c r="F19" s="5">
        <v>3.0646368605466012</v>
      </c>
      <c r="G19" s="2"/>
      <c r="H19" s="2"/>
    </row>
    <row x14ac:dyDescent="0.25" r="20" customHeight="1" ht="18.75">
      <c r="A20" s="4">
        <v>18</v>
      </c>
      <c r="B20" s="2" t="s">
        <v>15</v>
      </c>
      <c r="C20" s="2" t="s">
        <v>10</v>
      </c>
      <c r="D20" s="4">
        <v>42</v>
      </c>
      <c r="E20" s="5">
        <v>469.50329959091044</v>
      </c>
      <c r="F20" s="5">
        <v>6.573046194272746</v>
      </c>
      <c r="G20" s="2"/>
      <c r="H20" s="2"/>
    </row>
    <row x14ac:dyDescent="0.25" r="21" customHeight="1" ht="18.75">
      <c r="A21" s="4">
        <v>19</v>
      </c>
      <c r="B21" s="2" t="s">
        <v>16</v>
      </c>
      <c r="C21" s="2" t="s">
        <v>8</v>
      </c>
      <c r="D21" s="4">
        <v>12</v>
      </c>
      <c r="E21" s="5">
        <v>61.70595655220742</v>
      </c>
      <c r="F21" s="5">
        <v>0.740471478626489</v>
      </c>
      <c r="G21" s="2"/>
      <c r="H21" s="2"/>
    </row>
    <row x14ac:dyDescent="0.25" r="22" customHeight="1" ht="18.75">
      <c r="A22" s="4">
        <v>20</v>
      </c>
      <c r="B22" s="2" t="s">
        <v>16</v>
      </c>
      <c r="C22" s="2" t="s">
        <v>9</v>
      </c>
      <c r="D22" s="4">
        <v>24</v>
      </c>
      <c r="E22" s="5">
        <v>74.9437981779958</v>
      </c>
      <c r="F22" s="5">
        <v>0.8993255781359495</v>
      </c>
      <c r="G22" s="2"/>
      <c r="H22" s="2"/>
    </row>
    <row x14ac:dyDescent="0.25" r="23" customHeight="1" ht="18.75">
      <c r="A23" s="4">
        <v>21</v>
      </c>
      <c r="B23" s="2" t="s">
        <v>16</v>
      </c>
      <c r="C23" s="2" t="s">
        <v>10</v>
      </c>
      <c r="D23" s="4">
        <v>24</v>
      </c>
      <c r="E23" s="5">
        <v>76.595935529082</v>
      </c>
      <c r="F23" s="5">
        <v>0.9191512263489839</v>
      </c>
      <c r="G23" s="2"/>
      <c r="H23" s="2" t="s">
        <v>17</v>
      </c>
    </row>
    <row x14ac:dyDescent="0.25" r="24" customHeight="1" ht="18.75">
      <c r="A24" s="4">
        <v>22</v>
      </c>
      <c r="B24" s="2" t="s">
        <v>18</v>
      </c>
      <c r="C24" s="2" t="s">
        <v>8</v>
      </c>
      <c r="D24" s="4">
        <f>SUM('Raw DNA'!D47:D48)</f>
      </c>
      <c r="E24" s="5">
        <f>SUM('Raw DNA'!H47:H48)</f>
      </c>
      <c r="F24" s="5">
        <f>SUM('Raw DNA'!I47:I48)</f>
      </c>
      <c r="G24" s="2"/>
      <c r="H24" s="2"/>
    </row>
    <row x14ac:dyDescent="0.25" r="25" customHeight="1" ht="18.75">
      <c r="A25" s="4">
        <v>23</v>
      </c>
      <c r="B25" s="2" t="s">
        <v>18</v>
      </c>
      <c r="C25" s="2" t="s">
        <v>9</v>
      </c>
      <c r="D25" s="4">
        <f>SUM('Raw DNA'!D49:D50)</f>
      </c>
      <c r="E25" s="5">
        <f>SUM('Raw DNA'!H49:H50)</f>
      </c>
      <c r="F25" s="5">
        <f>SUM('Raw DNA'!I49:I50)</f>
      </c>
      <c r="G25" s="2"/>
      <c r="H25" s="2"/>
    </row>
    <row x14ac:dyDescent="0.25" r="26" customHeight="1" ht="18.75">
      <c r="A26" s="4">
        <v>24</v>
      </c>
      <c r="B26" s="2" t="s">
        <v>18</v>
      </c>
      <c r="C26" s="2" t="s">
        <v>10</v>
      </c>
      <c r="D26" s="4">
        <f>SUM('Raw DNA'!D51:D52)</f>
      </c>
      <c r="E26" s="5">
        <f>SUM('Raw DNA'!H51:H52)</f>
      </c>
      <c r="F26" s="5">
        <f>SUM('Raw DNA'!I51:I52)</f>
      </c>
      <c r="G26" s="2"/>
      <c r="H26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Raw DNA</vt:lpstr>
      <vt:lpstr>BMC ready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2024-11-01T18:02:15.813Z</dcterms:created>
  <dcterms:modified xsi:type="dcterms:W3CDTF">2024-11-01T18:02:15.813Z</dcterms:modified>
</cp:coreProperties>
</file>